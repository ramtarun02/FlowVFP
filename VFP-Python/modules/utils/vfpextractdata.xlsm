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cke\work\vfphe\"/>
    </mc:Choice>
  </mc:AlternateContent>
  <xr:revisionPtr revIDLastSave="0" documentId="8_{59870593-9F56-495E-8F4B-41EEA2A9046C}" xr6:coauthVersionLast="47" xr6:coauthVersionMax="47" xr10:uidLastSave="{00000000-0000-0000-0000-000000000000}"/>
  <workbookProtection workbookAlgorithmName="SHA-512" workbookHashValue="22FVYnjd1H3ri/7By4AoI5XCNK3KUaJYLy7kEmOdgsrm9qHdky3jz1HscZtlUAnn4TPa0GJ11CO3QiRcqMrw2g==" workbookSaltValue="JjOFIgOZUaW9nQEa3MqTeA==" workbookSpinCount="100000" lockStructure="1"/>
  <bookViews>
    <workbookView xWindow="-110" yWindow="-110" windowWidth="19420" windowHeight="10300" activeTab="2" xr2:uid="{D21E11C6-EF98-4DA2-81A6-6860F06BFCFA}"/>
  </bookViews>
  <sheets>
    <sheet name="Planform" sheetId="3" r:id="rId1"/>
    <sheet name="Data Input" sheetId="1" r:id="rId2"/>
    <sheet name="vfpinputtest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" l="1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7" i="2"/>
  <c r="J7" i="2"/>
  <c r="H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H20" i="1"/>
  <c r="F6" i="2" s="1"/>
  <c r="B5" i="2"/>
  <c r="F7" i="2"/>
  <c r="P29" i="1"/>
  <c r="H29" i="1"/>
  <c r="H24" i="1"/>
  <c r="L30" i="1"/>
  <c r="D30" i="1"/>
  <c r="B30" i="1"/>
  <c r="H22" i="1"/>
  <c r="H18" i="1"/>
  <c r="D6" i="2" s="1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D12" i="3"/>
  <c r="C12" i="3"/>
  <c r="B12" i="3"/>
  <c r="F9" i="2"/>
  <c r="F10" i="2"/>
  <c r="F11" i="2"/>
  <c r="F12" i="2"/>
  <c r="F13" i="2"/>
  <c r="F14" i="2"/>
  <c r="F15" i="2"/>
  <c r="F16" i="2"/>
  <c r="F17" i="2"/>
  <c r="F18" i="2"/>
  <c r="F19" i="2"/>
  <c r="F20" i="2"/>
  <c r="D9" i="2"/>
  <c r="D10" i="2"/>
  <c r="D11" i="2"/>
  <c r="D12" i="2"/>
  <c r="D13" i="2"/>
  <c r="D14" i="2"/>
  <c r="D15" i="2"/>
  <c r="D16" i="2"/>
  <c r="D17" i="2"/>
  <c r="D18" i="2"/>
  <c r="D19" i="2"/>
  <c r="D20" i="2"/>
  <c r="B9" i="2"/>
  <c r="B10" i="2"/>
  <c r="B11" i="2"/>
  <c r="B12" i="2"/>
  <c r="B13" i="2"/>
  <c r="B14" i="2"/>
  <c r="B15" i="2"/>
  <c r="B16" i="2"/>
  <c r="B17" i="2"/>
  <c r="B18" i="2"/>
  <c r="B19" i="2"/>
  <c r="B20" i="2"/>
  <c r="F8" i="2"/>
  <c r="D8" i="2"/>
  <c r="B8" i="2"/>
  <c r="D7" i="2"/>
  <c r="B7" i="2"/>
  <c r="L6" i="1"/>
  <c r="N30" i="1" s="1"/>
  <c r="F30" i="1" l="1"/>
  <c r="J30" i="1"/>
  <c r="R30" i="1"/>
  <c r="B1" i="2"/>
  <c r="B6" i="2"/>
  <c r="B4" i="2"/>
  <c r="D3" i="2"/>
  <c r="B3" i="2"/>
  <c r="D2" i="2"/>
  <c r="B2" i="2"/>
</calcChain>
</file>

<file path=xl/sharedStrings.xml><?xml version="1.0" encoding="utf-8"?>
<sst xmlns="http://schemas.openxmlformats.org/spreadsheetml/2006/main" count="51" uniqueCount="38">
  <si>
    <t>Units ft or m</t>
  </si>
  <si>
    <t>Origin</t>
  </si>
  <si>
    <t xml:space="preserve"> </t>
  </si>
  <si>
    <t>ft</t>
  </si>
  <si>
    <t>Number of excresences</t>
  </si>
  <si>
    <t>Number of points</t>
  </si>
  <si>
    <t>Wing surface</t>
  </si>
  <si>
    <t>1 Forward-facing step</t>
  </si>
  <si>
    <t>2 Backward-facing step</t>
  </si>
  <si>
    <t>3 Ridge</t>
  </si>
  <si>
    <t>ye</t>
  </si>
  <si>
    <t>xe</t>
  </si>
  <si>
    <t>1 upper</t>
  </si>
  <si>
    <t>2 lower</t>
  </si>
  <si>
    <t>m</t>
  </si>
  <si>
    <t>h</t>
  </si>
  <si>
    <t>Planform</t>
  </si>
  <si>
    <t>Wing</t>
  </si>
  <si>
    <t>Tailplane</t>
  </si>
  <si>
    <t>Fin</t>
  </si>
  <si>
    <t>Dimensions</t>
  </si>
  <si>
    <t>y</t>
  </si>
  <si>
    <t>xle</t>
  </si>
  <si>
    <t>xte</t>
  </si>
  <si>
    <t>2 Chamfered (deg)</t>
  </si>
  <si>
    <t>3 Radiused  (r/h)</t>
  </si>
  <si>
    <t>1 Plain (90 deg)</t>
  </si>
  <si>
    <t>Edge Treatment 1</t>
  </si>
  <si>
    <t>Edge Treatment 2</t>
  </si>
  <si>
    <t>First Excresence</t>
  </si>
  <si>
    <t>Second Excresence</t>
  </si>
  <si>
    <t>Type of excresence 1</t>
  </si>
  <si>
    <t>Type of excresence 2</t>
  </si>
  <si>
    <t>4 Rectangular Ridge</t>
  </si>
  <si>
    <t>5 Grove</t>
  </si>
  <si>
    <t>t</t>
  </si>
  <si>
    <t>Excresence location and details</t>
  </si>
  <si>
    <t>Wing Semi-Span/Area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</si>
</sst>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2499465926084170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4" borderId="0" xfId="0" applyFill="1"/>
    <xf numFmtId="0" fontId="0" fillId="3" borderId="1" xfId="0" applyFill="1" applyBorder="1"/>
    <xf numFmtId="0" fontId="0" fillId="2" borderId="0" xfId="0" applyFill="1" applyProtection="1">
      <protection hidden="1"/>
    </xf>
    <xf numFmtId="0" fontId="4" fillId="2" borderId="0" xfId="0" applyFont="1" applyFill="1" applyProtection="1">
      <protection hidden="1"/>
    </xf>
    <xf numFmtId="0" fontId="3" fillId="2" borderId="0" xfId="0" applyFont="1" applyFill="1"/>
    <xf numFmtId="0" fontId="3" fillId="4" borderId="0" xfId="0" applyFont="1" applyFill="1"/>
    <xf numFmtId="0" fontId="4" fillId="4" borderId="0" xfId="0" applyFont="1" applyFill="1"/>
    <xf numFmtId="0" fontId="0" fillId="3" borderId="7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2" xfId="0" applyBorder="1"/>
    <xf numFmtId="0" fontId="0" fillId="0" borderId="11" xfId="0" applyBorder="1"/>
    <xf numFmtId="0" fontId="0" fillId="0" borderId="6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3" borderId="4" xfId="0" applyFill="1" applyBorder="1"/>
    <xf numFmtId="0" fontId="0" fillId="0" borderId="3" xfId="0" applyBorder="1"/>
    <xf numFmtId="0" fontId="0" fillId="0" borderId="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 baseline="0">
                <a:solidFill>
                  <a:schemeClr val="tx1"/>
                </a:solidFill>
              </a:rPr>
              <a:t>Planform and Excresence Location</a:t>
            </a:r>
          </a:p>
        </c:rich>
      </c:tx>
      <c:layout>
        <c:manualLayout>
          <c:xMode val="edge"/>
          <c:yMode val="edge"/>
          <c:x val="0.22236111111111109"/>
          <c:y val="7.40740740740740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358705161854772E-2"/>
          <c:y val="5.0925925925925923E-2"/>
          <c:w val="0.89019685039370078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leading edge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Planform!$B$14:$B$20</c:f>
              <c:numCache>
                <c:formatCode>General</c:formatCode>
                <c:ptCount val="7"/>
              </c:numCache>
            </c:numRef>
          </c:xVal>
          <c:yVal>
            <c:numRef>
              <c:f>Planform!$C$14:$C$20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A-458D-9CAF-26D309413DC0}"/>
            </c:ext>
          </c:extLst>
        </c:ser>
        <c:ser>
          <c:idx val="1"/>
          <c:order val="1"/>
          <c:tx>
            <c:v>trailing edege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Planform!$B$14:$B$17</c:f>
              <c:numCache>
                <c:formatCode>General</c:formatCode>
                <c:ptCount val="4"/>
              </c:numCache>
            </c:numRef>
          </c:xVal>
          <c:yVal>
            <c:numRef>
              <c:f>Planform!$D$14:$D$17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A-458D-9CAF-26D309413DC0}"/>
            </c:ext>
          </c:extLst>
        </c:ser>
        <c:ser>
          <c:idx val="2"/>
          <c:order val="2"/>
          <c:tx>
            <c:v>first excresence </c:v>
          </c:tx>
          <c:spPr>
            <a:ln w="1270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'Data Input'!$B$31:$B$60</c:f>
              <c:numCache>
                <c:formatCode>General</c:formatCode>
                <c:ptCount val="30"/>
              </c:numCache>
            </c:numRef>
          </c:xVal>
          <c:yVal>
            <c:numRef>
              <c:f>'Data Input'!$D$31:$D$60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1A-458D-9CAF-26D309413DC0}"/>
            </c:ext>
          </c:extLst>
        </c:ser>
        <c:ser>
          <c:idx val="3"/>
          <c:order val="3"/>
          <c:tx>
            <c:v>second excresence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'Data Input'!$B$31:$B$60</c:f>
              <c:numCache>
                <c:formatCode>General</c:formatCode>
                <c:ptCount val="30"/>
              </c:numCache>
            </c:numRef>
          </c:xVal>
          <c:yVal>
            <c:numRef>
              <c:f>'Data Input'!$L$31:$L$60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FC-4AB7-8DE3-4D86FE224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446096"/>
        <c:axId val="306991264"/>
      </c:scatterChart>
      <c:valAx>
        <c:axId val="24944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X</a:t>
                </a:r>
              </a:p>
            </c:rich>
          </c:tx>
          <c:layout>
            <c:manualLayout>
              <c:xMode val="edge"/>
              <c:yMode val="edge"/>
              <c:x val="0.89172090988626418"/>
              <c:y val="0.80460629921259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91264"/>
        <c:crosses val="autoZero"/>
        <c:crossBetween val="midCat"/>
      </c:valAx>
      <c:valAx>
        <c:axId val="306991264"/>
        <c:scaling>
          <c:orientation val="minMax"/>
        </c:scaling>
        <c:delete val="0"/>
        <c:axPos val="l"/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Y</a:t>
                </a:r>
              </a:p>
            </c:rich>
          </c:tx>
          <c:layout>
            <c:manualLayout>
              <c:xMode val="edge"/>
              <c:yMode val="edge"/>
              <c:x val="8.0555555555555561E-2"/>
              <c:y val="9.12769757946923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alpha val="96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44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60454111986001746"/>
          <c:y val="0.54745261009040536"/>
          <c:w val="0.29812554680664916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444500</xdr:colOff>
      <xdr:row>2</xdr:row>
      <xdr:rowOff>85725</xdr:rowOff>
    </xdr:from>
    <xdr:to>
      <xdr:col>12</xdr:col>
      <xdr:colOff>139700</xdr:colOff>
      <xdr:row>17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522111</xdr:colOff>
      <xdr:row>4</xdr:row>
      <xdr:rowOff>141111</xdr:rowOff>
    </xdr:from>
    <xdr:to>
      <xdr:col>17</xdr:col>
      <xdr:colOff>196679</xdr:colOff>
      <xdr:row>23</xdr:row>
      <xdr:rowOff>8581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9555" y="874889"/>
          <a:ext cx="5742346" cy="3352914"/>
        </a:xfrm>
        <a:prstGeom prst="rect">
          <a:avLst/>
        </a:prstGeom>
        <a:noFill/>
        <a:ln w="12700">
          <a:solidFill>
            <a:schemeClr val="tx1"/>
          </a:solidFill>
        </a:ln>
        <a:effectLst>
          <a:softEdge rad="0"/>
        </a:effectLst>
      </xdr:spPr>
    </xdr:pic>
    <xdr:clientData/>
  </xdr:twoCellAnchor>
  <xdr:twoCellAnchor editAs="oneCell">
    <xdr:from>
      <xdr:col>17</xdr:col>
      <xdr:colOff>336316</xdr:colOff>
      <xdr:row>4</xdr:row>
      <xdr:rowOff>169334</xdr:rowOff>
    </xdr:from>
    <xdr:to>
      <xdr:col>27</xdr:col>
      <xdr:colOff>169334</xdr:colOff>
      <xdr:row>23</xdr:row>
      <xdr:rowOff>3088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51538" y="903112"/>
          <a:ext cx="5900796" cy="331919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12</xdr:col>
      <xdr:colOff>232834</xdr:colOff>
      <xdr:row>6</xdr:row>
      <xdr:rowOff>28223</xdr:rowOff>
    </xdr:from>
    <xdr:to>
      <xdr:col>12</xdr:col>
      <xdr:colOff>543278</xdr:colOff>
      <xdr:row>8</xdr:row>
      <xdr:rowOff>70555</xdr:rowOff>
    </xdr:to>
    <xdr:sp macro="" textlink="">
      <xdr:nvSpPr>
        <xdr:cNvPr id="6" name="Ar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514167" y="1128890"/>
          <a:ext cx="310444" cy="409221"/>
        </a:xfrm>
        <a:prstGeom prst="arc">
          <a:avLst>
            <a:gd name="adj1" fmla="val 16059498"/>
            <a:gd name="adj2" fmla="val 507682"/>
          </a:avLst>
        </a:prstGeom>
        <a:ln w="12700">
          <a:solidFill>
            <a:schemeClr val="tx1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0</xdr:colOff>
      <xdr:row>7</xdr:row>
      <xdr:rowOff>84666</xdr:rowOff>
    </xdr:from>
    <xdr:to>
      <xdr:col>14</xdr:col>
      <xdr:colOff>289277</xdr:colOff>
      <xdr:row>9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7888111" y="1368777"/>
          <a:ext cx="896055" cy="2822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Angle(Deg)</a:t>
          </a:r>
        </a:p>
      </xdr:txBody>
    </xdr:sp>
    <xdr:clientData/>
  </xdr:twoCellAnchor>
  <xdr:twoCellAnchor>
    <xdr:from>
      <xdr:col>12</xdr:col>
      <xdr:colOff>564445</xdr:colOff>
      <xdr:row>6</xdr:row>
      <xdr:rowOff>176389</xdr:rowOff>
    </xdr:from>
    <xdr:to>
      <xdr:col>13</xdr:col>
      <xdr:colOff>282222</xdr:colOff>
      <xdr:row>7</xdr:row>
      <xdr:rowOff>141111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H="1" flipV="1">
          <a:off x="7845778" y="1277056"/>
          <a:ext cx="324555" cy="148166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546100</xdr:colOff>
          <xdr:row>0</xdr:row>
          <xdr:rowOff>57150</xdr:rowOff>
        </xdr:from>
        <xdr:to>
          <xdr:col>9</xdr:col>
          <xdr:colOff>114300</xdr:colOff>
          <xdr:row>2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B00D-2BE9-4944-B118-398BCBA9B3E5}">
  <sheetPr codeName="Sheet3"/>
  <dimension ref="B3:H20"/>
  <sheetViews>
    <sheetView workbookViewId="0">
      <selection activeCell="N8" sqref="N8"/>
    </sheetView>
  </sheetViews>
  <sheetFormatPr defaultRowHeight="14.5" x14ac:dyDescent="0.35"/>
  <cols>
    <col min="1" max="16384" width="8.7265625" style="2"/>
  </cols>
  <sheetData>
    <row r="3" spans="2:8" x14ac:dyDescent="0.35">
      <c r="B3" s="7" t="s">
        <v>16</v>
      </c>
      <c r="C3" s="7" t="s">
        <v>17</v>
      </c>
      <c r="D3" s="7"/>
      <c r="G3" s="8"/>
      <c r="H3" s="8" t="s">
        <v>17</v>
      </c>
    </row>
    <row r="4" spans="2:8" x14ac:dyDescent="0.35">
      <c r="B4" s="7"/>
      <c r="C4" s="7"/>
      <c r="D4" s="7"/>
      <c r="G4" s="8"/>
      <c r="H4" s="8" t="s">
        <v>18</v>
      </c>
    </row>
    <row r="5" spans="2:8" x14ac:dyDescent="0.35">
      <c r="B5" s="7"/>
      <c r="C5" s="7"/>
      <c r="D5" s="7"/>
      <c r="G5" s="8"/>
      <c r="H5" s="8" t="s">
        <v>19</v>
      </c>
    </row>
    <row r="6" spans="2:8" x14ac:dyDescent="0.35">
      <c r="B6" s="7" t="s">
        <v>20</v>
      </c>
      <c r="C6" s="7"/>
      <c r="D6" s="7"/>
      <c r="G6" s="8"/>
      <c r="H6" s="8"/>
    </row>
    <row r="7" spans="2:8" x14ac:dyDescent="0.35">
      <c r="B7" s="7" t="s">
        <v>14</v>
      </c>
      <c r="C7" s="7"/>
      <c r="D7" s="7"/>
      <c r="G7" s="8"/>
      <c r="H7" s="8" t="s">
        <v>3</v>
      </c>
    </row>
    <row r="8" spans="2:8" x14ac:dyDescent="0.35">
      <c r="B8" s="7"/>
      <c r="C8" s="7"/>
      <c r="D8" s="7"/>
      <c r="G8" s="8"/>
      <c r="H8" s="8" t="s">
        <v>14</v>
      </c>
    </row>
    <row r="9" spans="2:8" x14ac:dyDescent="0.35">
      <c r="B9" s="7"/>
      <c r="C9" s="7"/>
      <c r="D9" s="7"/>
    </row>
    <row r="10" spans="2:8" x14ac:dyDescent="0.35">
      <c r="B10" s="7"/>
      <c r="C10" s="7"/>
      <c r="D10" s="7"/>
    </row>
    <row r="11" spans="2:8" x14ac:dyDescent="0.35">
      <c r="B11" s="7" t="s">
        <v>21</v>
      </c>
      <c r="C11" s="7" t="s">
        <v>22</v>
      </c>
      <c r="D11" s="7" t="s">
        <v>23</v>
      </c>
    </row>
    <row r="12" spans="2:8" x14ac:dyDescent="0.35">
      <c r="B12" s="7" t="str">
        <f>B7</f>
        <v>m</v>
      </c>
      <c r="C12" s="7" t="str">
        <f>B7</f>
        <v>m</v>
      </c>
      <c r="D12" s="7" t="str">
        <f>B7</f>
        <v>m</v>
      </c>
    </row>
    <row r="14" spans="2:8" x14ac:dyDescent="0.35">
      <c r="B14" s="13"/>
      <c r="C14" s="14"/>
      <c r="D14" s="15"/>
    </row>
    <row r="15" spans="2:8" x14ac:dyDescent="0.35">
      <c r="B15" s="16"/>
      <c r="C15"/>
      <c r="D15" s="17"/>
    </row>
    <row r="16" spans="2:8" x14ac:dyDescent="0.35">
      <c r="B16" s="16"/>
      <c r="C16"/>
      <c r="D16" s="17"/>
    </row>
    <row r="17" spans="2:4" x14ac:dyDescent="0.35">
      <c r="B17" s="16"/>
      <c r="C17"/>
      <c r="D17" s="17"/>
    </row>
    <row r="18" spans="2:4" x14ac:dyDescent="0.35">
      <c r="B18" s="16"/>
      <c r="C18"/>
      <c r="D18" s="17"/>
    </row>
    <row r="19" spans="2:4" x14ac:dyDescent="0.35">
      <c r="B19" s="16"/>
      <c r="C19"/>
      <c r="D19" s="17"/>
    </row>
    <row r="20" spans="2:4" x14ac:dyDescent="0.35">
      <c r="B20" s="18"/>
      <c r="C20" s="19"/>
      <c r="D20" s="20"/>
    </row>
  </sheetData>
  <dataValidations count="2">
    <dataValidation type="list" allowBlank="1" showInputMessage="1" showErrorMessage="1" sqref="C3" xr:uid="{A52C62A9-EB9C-4837-BA8C-A851D59A65DA}">
      <formula1>$H$3:$H$5</formula1>
    </dataValidation>
    <dataValidation type="list" allowBlank="1" showInputMessage="1" showErrorMessage="1" sqref="B7" xr:uid="{B7C508A5-8A25-47B8-AC4B-94CEE5E6C8BF}">
      <formula1>$H$7:$H$8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D60B1-0FB7-4ACA-9F64-25F252C44C85}">
  <sheetPr codeName="Sheet1"/>
  <dimension ref="A4:X60"/>
  <sheetViews>
    <sheetView topLeftCell="A22" zoomScale="90" zoomScaleNormal="90" workbookViewId="0">
      <selection activeCell="P31" sqref="P31:P32"/>
    </sheetView>
  </sheetViews>
  <sheetFormatPr defaultRowHeight="14.5" x14ac:dyDescent="0.35"/>
  <cols>
    <col min="1" max="16384" width="8.7265625" style="1"/>
  </cols>
  <sheetData>
    <row r="4" spans="1:21" x14ac:dyDescent="0.35">
      <c r="B4" s="2"/>
      <c r="D4" s="2"/>
      <c r="E4" s="2"/>
      <c r="F4" s="2"/>
      <c r="M4" s="2"/>
      <c r="N4" s="2"/>
      <c r="O4" s="2"/>
      <c r="P4" s="2"/>
      <c r="Q4" s="2"/>
      <c r="R4" s="2"/>
      <c r="S4" s="2"/>
    </row>
    <row r="5" spans="1:21" x14ac:dyDescent="0.35">
      <c r="H5" s="4"/>
      <c r="I5" s="4"/>
      <c r="J5" s="4"/>
      <c r="K5" s="4"/>
      <c r="L5" s="4"/>
      <c r="M5" s="4"/>
      <c r="O5" s="2"/>
      <c r="P5" s="2"/>
      <c r="Q5" s="2"/>
      <c r="R5" s="2"/>
      <c r="S5" s="2"/>
      <c r="T5" s="2"/>
      <c r="U5" s="2"/>
    </row>
    <row r="6" spans="1:21" x14ac:dyDescent="0.35">
      <c r="B6" s="6" t="s">
        <v>0</v>
      </c>
      <c r="E6" s="3" t="s">
        <v>14</v>
      </c>
      <c r="H6" s="4"/>
      <c r="I6" s="4"/>
      <c r="J6" s="4"/>
      <c r="K6" s="5" t="s">
        <v>3</v>
      </c>
      <c r="L6" s="5">
        <f>CODE(E6)</f>
        <v>109</v>
      </c>
      <c r="M6" s="4"/>
      <c r="O6" s="2"/>
      <c r="P6" s="2"/>
      <c r="Q6" s="2"/>
      <c r="R6" s="2"/>
      <c r="S6" s="2"/>
      <c r="T6" s="2"/>
      <c r="U6" s="2"/>
    </row>
    <row r="7" spans="1:21" x14ac:dyDescent="0.35">
      <c r="B7" s="6"/>
      <c r="H7" s="4"/>
      <c r="I7" s="4"/>
      <c r="J7" s="4"/>
      <c r="K7" s="5" t="s">
        <v>14</v>
      </c>
      <c r="L7" s="5"/>
      <c r="M7" s="4"/>
      <c r="O7" s="2"/>
      <c r="P7" s="2"/>
      <c r="Q7" s="2"/>
      <c r="R7" s="2"/>
      <c r="S7" s="2"/>
      <c r="T7" s="2"/>
      <c r="U7" s="2"/>
    </row>
    <row r="8" spans="1:21" x14ac:dyDescent="0.35">
      <c r="B8" s="6" t="s">
        <v>37</v>
      </c>
      <c r="E8" s="3"/>
      <c r="G8" s="3"/>
      <c r="H8" s="4"/>
      <c r="I8" s="4"/>
      <c r="J8" s="4"/>
      <c r="K8" s="4"/>
      <c r="L8" s="4"/>
      <c r="M8" s="4"/>
      <c r="O8" s="2"/>
      <c r="P8" s="2"/>
      <c r="Q8" s="2"/>
      <c r="R8" s="2"/>
      <c r="S8" s="2"/>
      <c r="T8" s="2"/>
      <c r="U8" s="2"/>
    </row>
    <row r="9" spans="1:21" x14ac:dyDescent="0.35">
      <c r="B9" s="6"/>
      <c r="H9" s="4"/>
      <c r="I9" s="4"/>
      <c r="J9" s="4"/>
      <c r="K9" s="4"/>
      <c r="L9" s="4"/>
      <c r="M9" s="4"/>
      <c r="O9" s="2"/>
      <c r="P9" s="2"/>
      <c r="Q9" s="2"/>
      <c r="R9" s="2"/>
      <c r="S9" s="2"/>
      <c r="T9" s="2"/>
      <c r="U9" s="2"/>
    </row>
    <row r="10" spans="1:21" x14ac:dyDescent="0.35">
      <c r="B10" s="6" t="s">
        <v>1</v>
      </c>
      <c r="E10" s="3">
        <v>0</v>
      </c>
      <c r="G10" s="3">
        <v>0</v>
      </c>
      <c r="H10" s="4"/>
      <c r="I10" s="4"/>
      <c r="J10" s="4"/>
      <c r="K10" s="4"/>
      <c r="L10" s="4"/>
      <c r="M10" s="4"/>
      <c r="O10" s="2"/>
      <c r="P10" s="2"/>
      <c r="Q10" s="2"/>
      <c r="R10" s="2"/>
      <c r="S10" s="2"/>
      <c r="T10" s="2"/>
      <c r="U10" s="2"/>
    </row>
    <row r="11" spans="1:21" x14ac:dyDescent="0.35">
      <c r="A11" s="1" t="s">
        <v>2</v>
      </c>
      <c r="B11" s="6"/>
      <c r="H11" s="4"/>
      <c r="I11" s="4"/>
      <c r="J11" s="4"/>
      <c r="K11" s="4"/>
      <c r="L11" s="4"/>
      <c r="M11" s="4"/>
      <c r="O11" s="2"/>
      <c r="P11" s="2"/>
      <c r="Q11" s="2"/>
      <c r="R11" s="2"/>
      <c r="S11" s="2"/>
      <c r="T11" s="2"/>
      <c r="U11" s="2"/>
    </row>
    <row r="12" spans="1:21" x14ac:dyDescent="0.35">
      <c r="B12" s="6" t="s">
        <v>4</v>
      </c>
      <c r="E12" s="3"/>
      <c r="H12" s="4"/>
      <c r="I12" s="4"/>
      <c r="J12" s="4"/>
      <c r="K12" s="4"/>
      <c r="L12" s="4"/>
      <c r="M12" s="4"/>
      <c r="O12" s="2"/>
      <c r="P12" s="2"/>
      <c r="Q12" s="2"/>
      <c r="R12" s="2"/>
      <c r="S12" s="2"/>
      <c r="T12" s="2"/>
      <c r="U12" s="2"/>
    </row>
    <row r="13" spans="1:21" x14ac:dyDescent="0.35">
      <c r="B13" s="6"/>
      <c r="H13" s="4"/>
      <c r="I13" s="4"/>
      <c r="J13" s="4"/>
      <c r="K13" s="4"/>
      <c r="L13" s="4"/>
      <c r="M13" s="4"/>
      <c r="O13" s="2"/>
      <c r="P13" s="2"/>
      <c r="Q13" s="2"/>
      <c r="R13" s="2"/>
      <c r="S13" s="2"/>
      <c r="T13" s="2"/>
      <c r="U13" s="2"/>
    </row>
    <row r="14" spans="1:21" x14ac:dyDescent="0.35">
      <c r="B14" s="6" t="s">
        <v>5</v>
      </c>
      <c r="E14" s="3"/>
      <c r="H14" s="4"/>
      <c r="I14" s="4"/>
      <c r="J14" s="4"/>
      <c r="K14" s="4"/>
      <c r="L14" s="4"/>
      <c r="M14" s="4"/>
      <c r="O14" s="2"/>
      <c r="P14" s="2"/>
      <c r="Q14" s="2"/>
      <c r="R14" s="2"/>
      <c r="S14" s="2"/>
      <c r="T14" s="2"/>
      <c r="U14" s="2"/>
    </row>
    <row r="15" spans="1:21" x14ac:dyDescent="0.35">
      <c r="B15" s="6"/>
      <c r="H15" s="4"/>
      <c r="I15" s="4"/>
      <c r="J15" s="4"/>
      <c r="K15" s="5" t="s">
        <v>12</v>
      </c>
      <c r="L15" s="4"/>
      <c r="M15" s="4"/>
      <c r="O15" s="2"/>
      <c r="P15" s="2"/>
      <c r="Q15" s="2"/>
      <c r="R15" s="2"/>
      <c r="S15" s="2"/>
      <c r="T15" s="2"/>
      <c r="U15" s="2"/>
    </row>
    <row r="16" spans="1:21" x14ac:dyDescent="0.35">
      <c r="B16" s="6" t="s">
        <v>6</v>
      </c>
      <c r="E16" s="3" t="s">
        <v>12</v>
      </c>
      <c r="H16" s="5">
        <f>CODE(E16)</f>
        <v>49</v>
      </c>
      <c r="I16" s="4"/>
      <c r="J16" s="4"/>
      <c r="K16" s="5" t="s">
        <v>13</v>
      </c>
      <c r="L16" s="4"/>
      <c r="M16" s="4"/>
      <c r="O16" s="2"/>
      <c r="P16" s="2"/>
      <c r="Q16" s="2"/>
      <c r="R16" s="2"/>
      <c r="S16" s="2"/>
      <c r="T16" s="2"/>
      <c r="U16" s="2"/>
    </row>
    <row r="17" spans="2:24" x14ac:dyDescent="0.35">
      <c r="B17" s="6"/>
      <c r="H17" s="5"/>
      <c r="I17" s="4"/>
      <c r="J17" s="4"/>
      <c r="K17" s="5" t="s">
        <v>7</v>
      </c>
      <c r="L17" s="4"/>
      <c r="M17" s="4"/>
      <c r="O17" s="2"/>
      <c r="P17" s="2"/>
      <c r="Q17" s="2"/>
      <c r="R17" s="2"/>
      <c r="S17" s="2"/>
      <c r="T17" s="2"/>
      <c r="U17" s="2"/>
    </row>
    <row r="18" spans="2:24" x14ac:dyDescent="0.35">
      <c r="B18" s="6" t="s">
        <v>31</v>
      </c>
      <c r="E18" s="24" t="s">
        <v>7</v>
      </c>
      <c r="F18" s="25"/>
      <c r="G18" s="26"/>
      <c r="H18" s="5">
        <f>CODE(E18)</f>
        <v>49</v>
      </c>
      <c r="I18" s="4"/>
      <c r="J18" s="4"/>
      <c r="K18" s="5" t="s">
        <v>8</v>
      </c>
      <c r="L18" s="4"/>
      <c r="M18" s="4"/>
      <c r="O18" s="2"/>
      <c r="P18" s="2"/>
      <c r="Q18" s="2"/>
      <c r="R18" s="2"/>
      <c r="S18" s="2"/>
      <c r="T18" s="2"/>
      <c r="U18" s="2"/>
    </row>
    <row r="19" spans="2:24" x14ac:dyDescent="0.35">
      <c r="B19" s="6"/>
      <c r="E19" s="2"/>
      <c r="F19" s="2"/>
      <c r="G19" s="2"/>
      <c r="H19" s="5"/>
      <c r="I19" s="4"/>
      <c r="J19" s="4"/>
      <c r="K19" s="5" t="s">
        <v>9</v>
      </c>
      <c r="L19" s="4"/>
      <c r="M19" s="4"/>
      <c r="O19" s="2"/>
      <c r="P19" s="2"/>
      <c r="Q19" s="2"/>
      <c r="R19" s="2"/>
      <c r="S19" s="2"/>
      <c r="T19" s="2"/>
      <c r="U19" s="2"/>
    </row>
    <row r="20" spans="2:24" x14ac:dyDescent="0.35">
      <c r="B20" s="6" t="s">
        <v>32</v>
      </c>
      <c r="E20" s="24" t="s">
        <v>8</v>
      </c>
      <c r="F20" s="25"/>
      <c r="G20" s="26"/>
      <c r="H20" s="5">
        <f>CODE(E20)</f>
        <v>50</v>
      </c>
      <c r="I20" s="4"/>
      <c r="J20" s="4"/>
      <c r="K20" s="5" t="s">
        <v>33</v>
      </c>
      <c r="L20" s="4"/>
      <c r="M20" s="4"/>
      <c r="O20" s="2"/>
      <c r="P20" s="2"/>
      <c r="Q20" s="2"/>
      <c r="R20" s="2"/>
      <c r="S20" s="2"/>
      <c r="T20" s="2"/>
      <c r="U20" s="2"/>
    </row>
    <row r="21" spans="2:24" x14ac:dyDescent="0.35">
      <c r="B21" s="6"/>
      <c r="E21" s="2"/>
      <c r="F21" s="2"/>
      <c r="H21" s="5"/>
      <c r="I21" s="4"/>
      <c r="J21" s="4"/>
      <c r="K21" s="5" t="s">
        <v>34</v>
      </c>
      <c r="L21" s="4"/>
      <c r="M21" s="4"/>
      <c r="O21" s="2"/>
      <c r="P21" s="2"/>
      <c r="Q21" s="2"/>
      <c r="R21" s="2"/>
      <c r="S21" s="2"/>
      <c r="T21" s="2"/>
      <c r="U21" s="2"/>
    </row>
    <row r="22" spans="2:24" x14ac:dyDescent="0.35">
      <c r="B22" s="6" t="s">
        <v>27</v>
      </c>
      <c r="E22" s="24" t="s">
        <v>24</v>
      </c>
      <c r="F22" s="26"/>
      <c r="H22" s="5">
        <f>CODE(E22)</f>
        <v>50</v>
      </c>
      <c r="I22" s="4"/>
      <c r="J22" s="4"/>
      <c r="K22" s="5" t="s">
        <v>26</v>
      </c>
      <c r="L22" s="4"/>
      <c r="M22" s="4"/>
      <c r="O22" s="2"/>
      <c r="P22" s="2"/>
      <c r="Q22" s="2"/>
      <c r="R22" s="2"/>
      <c r="S22" s="2"/>
      <c r="T22" s="2"/>
      <c r="U22" s="2"/>
    </row>
    <row r="23" spans="2:24" x14ac:dyDescent="0.35">
      <c r="B23" s="6"/>
      <c r="E23" s="2"/>
      <c r="F23" s="2"/>
      <c r="H23" s="5"/>
      <c r="I23" s="4"/>
      <c r="J23" s="4"/>
      <c r="K23" s="5" t="s">
        <v>24</v>
      </c>
      <c r="L23" s="4"/>
      <c r="M23" s="4"/>
      <c r="O23" s="2"/>
      <c r="P23" s="2"/>
      <c r="Q23" s="2"/>
      <c r="R23" s="2"/>
      <c r="S23" s="2"/>
      <c r="T23" s="2"/>
      <c r="U23" s="2"/>
    </row>
    <row r="24" spans="2:24" x14ac:dyDescent="0.35">
      <c r="B24" s="6" t="s">
        <v>28</v>
      </c>
      <c r="E24" s="24" t="s">
        <v>25</v>
      </c>
      <c r="F24" s="26"/>
      <c r="H24" s="5">
        <f>CODE(E24)</f>
        <v>51</v>
      </c>
      <c r="I24" s="4"/>
      <c r="J24" s="4"/>
      <c r="K24" s="5" t="s">
        <v>25</v>
      </c>
      <c r="L24" s="4"/>
      <c r="M24" s="4"/>
      <c r="O24" s="2"/>
      <c r="P24" s="2"/>
      <c r="Q24" s="2"/>
      <c r="R24" s="2"/>
      <c r="S24" s="2"/>
      <c r="T24" s="2"/>
      <c r="U24" s="2"/>
    </row>
    <row r="25" spans="2:24" x14ac:dyDescent="0.35">
      <c r="B25" s="6"/>
      <c r="H25" s="4"/>
      <c r="I25" s="4"/>
      <c r="J25" s="4"/>
      <c r="K25" s="4"/>
      <c r="L25" s="4"/>
      <c r="M25" s="4"/>
      <c r="O25" s="2"/>
      <c r="P25" s="2"/>
      <c r="Q25" s="2"/>
      <c r="R25" s="2"/>
      <c r="S25" s="2"/>
      <c r="T25" s="2"/>
      <c r="U25" s="2"/>
    </row>
    <row r="26" spans="2:24" x14ac:dyDescent="0.35">
      <c r="B26" s="6" t="s">
        <v>36</v>
      </c>
      <c r="O26" s="2"/>
      <c r="P26" s="2"/>
      <c r="Q26" s="2"/>
      <c r="R26" s="2"/>
      <c r="S26" s="2"/>
      <c r="T26" s="2"/>
      <c r="U26" s="2"/>
    </row>
    <row r="27" spans="2:24" x14ac:dyDescent="0.35">
      <c r="O27" s="2"/>
      <c r="P27" s="2"/>
      <c r="Q27" s="2"/>
      <c r="R27" s="2"/>
      <c r="S27" s="2"/>
      <c r="T27" s="2"/>
      <c r="U27" s="2"/>
    </row>
    <row r="28" spans="2:24" x14ac:dyDescent="0.35">
      <c r="D28" s="21" t="s">
        <v>29</v>
      </c>
      <c r="E28" s="22"/>
      <c r="F28" s="22"/>
      <c r="G28" s="22"/>
      <c r="H28" s="22"/>
      <c r="I28" s="22"/>
      <c r="J28" s="23"/>
      <c r="L28" s="21" t="s">
        <v>30</v>
      </c>
      <c r="M28" s="22"/>
      <c r="N28" s="22"/>
      <c r="O28" s="22"/>
      <c r="P28" s="22"/>
      <c r="Q28" s="22"/>
      <c r="R28" s="23"/>
      <c r="S28" s="2"/>
      <c r="T28" s="2"/>
      <c r="U28" s="2"/>
      <c r="V28" s="2"/>
      <c r="W28" s="2"/>
      <c r="X28" s="2"/>
    </row>
    <row r="29" spans="2:24" ht="13" customHeight="1" x14ac:dyDescent="0.35">
      <c r="B29" s="6" t="s">
        <v>10</v>
      </c>
      <c r="C29" s="6"/>
      <c r="D29" s="6" t="s">
        <v>11</v>
      </c>
      <c r="E29" s="6"/>
      <c r="F29" s="6" t="s">
        <v>15</v>
      </c>
      <c r="G29" s="6"/>
      <c r="H29" s="6" t="str">
        <f>$E$22</f>
        <v>2 Chamfered (deg)</v>
      </c>
      <c r="I29" s="6"/>
      <c r="J29" s="6" t="s">
        <v>35</v>
      </c>
      <c r="K29" s="6"/>
      <c r="L29" s="6" t="s">
        <v>11</v>
      </c>
      <c r="M29" s="6"/>
      <c r="N29" s="6" t="s">
        <v>15</v>
      </c>
      <c r="O29" s="6"/>
      <c r="P29" s="6" t="str">
        <f>E24</f>
        <v>3 Radiused  (r/h)</v>
      </c>
      <c r="Q29" s="7"/>
      <c r="R29" s="7" t="s">
        <v>35</v>
      </c>
      <c r="S29" s="2"/>
      <c r="T29" s="2"/>
      <c r="U29" s="2"/>
      <c r="V29" s="2"/>
      <c r="W29" s="2"/>
    </row>
    <row r="30" spans="2:24" x14ac:dyDescent="0.35">
      <c r="B30" s="6" t="str">
        <f>$E$6</f>
        <v>m</v>
      </c>
      <c r="C30" s="6"/>
      <c r="D30" s="6" t="str">
        <f>$E$6</f>
        <v>m</v>
      </c>
      <c r="E30" s="6"/>
      <c r="F30" s="6" t="str">
        <f>IF($L$6=109,"mm","inches")</f>
        <v>mm</v>
      </c>
      <c r="G30" s="6"/>
      <c r="H30" s="6"/>
      <c r="I30" s="6"/>
      <c r="J30" s="6" t="str">
        <f>IF($L$6=109,"mm","inches")</f>
        <v>mm</v>
      </c>
      <c r="K30" s="6"/>
      <c r="L30" s="6" t="str">
        <f>$E$6</f>
        <v>m</v>
      </c>
      <c r="M30" s="6"/>
      <c r="N30" s="6" t="str">
        <f>IF($L$6=109,"mm","inches")</f>
        <v>mm</v>
      </c>
      <c r="O30" s="6"/>
      <c r="P30" s="6"/>
      <c r="Q30" s="6"/>
      <c r="R30" s="6" t="str">
        <f>IF($L$6=109,"mm","inches")</f>
        <v>mm</v>
      </c>
    </row>
    <row r="31" spans="2:24" x14ac:dyDescent="0.35">
      <c r="B31" s="3"/>
      <c r="D31" s="3"/>
      <c r="F31" s="3"/>
      <c r="H31" s="3"/>
      <c r="J31" s="3"/>
      <c r="L31" s="3"/>
      <c r="N31" s="3"/>
      <c r="P31" s="10"/>
      <c r="R31" s="10"/>
    </row>
    <row r="32" spans="2:24" x14ac:dyDescent="0.35">
      <c r="B32" s="3"/>
      <c r="D32" s="3"/>
      <c r="F32" s="3"/>
      <c r="H32" s="3"/>
      <c r="J32" s="3"/>
      <c r="L32" s="3"/>
      <c r="N32" s="3"/>
      <c r="P32" s="11"/>
      <c r="R32" s="11"/>
    </row>
    <row r="33" spans="2:18" x14ac:dyDescent="0.35">
      <c r="B33" s="3"/>
      <c r="D33" s="3"/>
      <c r="F33" s="3"/>
      <c r="H33" s="3"/>
      <c r="J33" s="3"/>
      <c r="L33" s="3"/>
      <c r="N33" s="3"/>
      <c r="P33" s="11"/>
      <c r="R33" s="11"/>
    </row>
    <row r="34" spans="2:18" x14ac:dyDescent="0.35">
      <c r="B34" s="3"/>
      <c r="D34" s="3"/>
      <c r="F34" s="3"/>
      <c r="H34" s="3"/>
      <c r="J34" s="3"/>
      <c r="L34" s="3"/>
      <c r="N34" s="3"/>
      <c r="P34" s="11"/>
      <c r="R34" s="11"/>
    </row>
    <row r="35" spans="2:18" x14ac:dyDescent="0.35">
      <c r="B35" s="3"/>
      <c r="D35" s="3"/>
      <c r="F35" s="3"/>
      <c r="H35" s="3"/>
      <c r="J35" s="3"/>
      <c r="L35" s="3"/>
      <c r="N35" s="3"/>
      <c r="P35" s="11"/>
      <c r="R35" s="11"/>
    </row>
    <row r="36" spans="2:18" x14ac:dyDescent="0.35">
      <c r="B36" s="3"/>
      <c r="D36" s="3"/>
      <c r="F36" s="3"/>
      <c r="H36" s="3"/>
      <c r="J36" s="3"/>
      <c r="L36" s="3"/>
      <c r="N36" s="3"/>
      <c r="P36" s="11"/>
      <c r="R36" s="11"/>
    </row>
    <row r="37" spans="2:18" x14ac:dyDescent="0.35">
      <c r="B37" s="3"/>
      <c r="D37" s="3"/>
      <c r="F37" s="3"/>
      <c r="H37" s="3"/>
      <c r="J37" s="3"/>
      <c r="L37" s="3"/>
      <c r="N37" s="3"/>
      <c r="P37" s="11"/>
      <c r="R37" s="11"/>
    </row>
    <row r="38" spans="2:18" x14ac:dyDescent="0.35">
      <c r="B38" s="3"/>
      <c r="D38" s="3"/>
      <c r="F38" s="3"/>
      <c r="H38" s="3"/>
      <c r="J38" s="3"/>
      <c r="L38" s="3"/>
      <c r="N38" s="3"/>
      <c r="P38" s="11"/>
      <c r="R38" s="11"/>
    </row>
    <row r="39" spans="2:18" x14ac:dyDescent="0.35">
      <c r="B39" s="3"/>
      <c r="D39" s="3"/>
      <c r="F39" s="3"/>
      <c r="H39" s="3"/>
      <c r="J39" s="3"/>
      <c r="L39" s="3"/>
      <c r="N39" s="3"/>
      <c r="P39" s="11"/>
      <c r="R39" s="11"/>
    </row>
    <row r="40" spans="2:18" x14ac:dyDescent="0.35">
      <c r="B40" s="3"/>
      <c r="D40" s="3"/>
      <c r="F40" s="3"/>
      <c r="H40" s="3"/>
      <c r="J40" s="3"/>
      <c r="L40" s="3"/>
      <c r="N40" s="3"/>
      <c r="P40" s="11"/>
      <c r="R40" s="11"/>
    </row>
    <row r="41" spans="2:18" x14ac:dyDescent="0.35">
      <c r="B41" s="3"/>
      <c r="D41" s="3"/>
      <c r="F41" s="3"/>
      <c r="H41" s="3"/>
      <c r="J41" s="3"/>
      <c r="L41" s="3"/>
      <c r="N41" s="3"/>
      <c r="P41" s="11"/>
      <c r="R41" s="11"/>
    </row>
    <row r="42" spans="2:18" x14ac:dyDescent="0.35">
      <c r="B42" s="3"/>
      <c r="D42" s="3"/>
      <c r="F42" s="3"/>
      <c r="H42" s="3"/>
      <c r="J42" s="9"/>
      <c r="L42" s="3"/>
      <c r="N42" s="3"/>
      <c r="P42" s="11"/>
      <c r="R42" s="11"/>
    </row>
    <row r="43" spans="2:18" x14ac:dyDescent="0.35">
      <c r="B43" s="3"/>
      <c r="D43" s="3"/>
      <c r="F43" s="3"/>
      <c r="H43" s="3"/>
      <c r="J43" s="9"/>
      <c r="L43" s="3"/>
      <c r="N43" s="3"/>
      <c r="P43" s="11"/>
      <c r="R43" s="11"/>
    </row>
    <row r="44" spans="2:18" x14ac:dyDescent="0.35">
      <c r="B44" s="3"/>
      <c r="D44" s="3"/>
      <c r="F44" s="3"/>
      <c r="H44" s="3"/>
      <c r="J44" s="9"/>
      <c r="L44" s="3"/>
      <c r="N44" s="3"/>
      <c r="P44" s="11"/>
      <c r="R44" s="11"/>
    </row>
    <row r="45" spans="2:18" x14ac:dyDescent="0.35">
      <c r="B45" s="3"/>
      <c r="D45" s="3"/>
      <c r="F45" s="3"/>
      <c r="H45" s="3"/>
      <c r="J45" s="9"/>
      <c r="L45" s="3"/>
      <c r="N45" s="3"/>
      <c r="P45" s="11"/>
      <c r="R45" s="11"/>
    </row>
    <row r="46" spans="2:18" x14ac:dyDescent="0.35">
      <c r="B46" s="3"/>
      <c r="D46" s="3"/>
      <c r="F46" s="3"/>
      <c r="H46" s="3"/>
      <c r="J46" s="9"/>
      <c r="L46" s="3"/>
      <c r="N46" s="3"/>
      <c r="P46" s="11"/>
      <c r="R46" s="11"/>
    </row>
    <row r="47" spans="2:18" x14ac:dyDescent="0.35">
      <c r="B47" s="3"/>
      <c r="D47" s="3"/>
      <c r="F47" s="3"/>
      <c r="H47" s="3"/>
      <c r="J47" s="9"/>
      <c r="L47" s="3"/>
      <c r="N47" s="3"/>
      <c r="P47" s="11"/>
      <c r="R47" s="11"/>
    </row>
    <row r="48" spans="2:18" x14ac:dyDescent="0.35">
      <c r="B48" s="3"/>
      <c r="D48" s="3"/>
      <c r="F48" s="3"/>
      <c r="H48" s="3"/>
      <c r="J48" s="9"/>
      <c r="L48" s="3"/>
      <c r="N48" s="3"/>
      <c r="P48" s="11"/>
      <c r="R48" s="11"/>
    </row>
    <row r="49" spans="2:18" x14ac:dyDescent="0.35">
      <c r="B49" s="3"/>
      <c r="D49" s="3"/>
      <c r="F49" s="3"/>
      <c r="H49" s="3"/>
      <c r="J49" s="9"/>
      <c r="L49" s="3"/>
      <c r="N49" s="3"/>
      <c r="P49" s="11"/>
      <c r="R49" s="11"/>
    </row>
    <row r="50" spans="2:18" x14ac:dyDescent="0.35">
      <c r="B50" s="3"/>
      <c r="D50" s="3"/>
      <c r="F50" s="3"/>
      <c r="H50" s="3"/>
      <c r="J50" s="9"/>
      <c r="L50" s="3"/>
      <c r="N50" s="3"/>
      <c r="P50" s="11"/>
      <c r="R50" s="11"/>
    </row>
    <row r="51" spans="2:18" x14ac:dyDescent="0.35">
      <c r="B51" s="3"/>
      <c r="D51" s="3"/>
      <c r="F51" s="3"/>
      <c r="H51" s="3"/>
      <c r="J51" s="9"/>
      <c r="L51" s="3"/>
      <c r="N51" s="3"/>
      <c r="P51" s="11"/>
      <c r="R51" s="11"/>
    </row>
    <row r="52" spans="2:18" x14ac:dyDescent="0.35">
      <c r="B52" s="3"/>
      <c r="D52" s="3"/>
      <c r="F52" s="3"/>
      <c r="H52" s="3"/>
      <c r="J52" s="9"/>
      <c r="L52" s="3"/>
      <c r="N52" s="3"/>
      <c r="P52" s="11"/>
      <c r="R52" s="11"/>
    </row>
    <row r="53" spans="2:18" x14ac:dyDescent="0.35">
      <c r="B53" s="3"/>
      <c r="D53" s="3"/>
      <c r="F53" s="3"/>
      <c r="H53" s="3"/>
      <c r="J53" s="9"/>
      <c r="L53" s="3"/>
      <c r="N53" s="3"/>
      <c r="P53" s="11"/>
      <c r="R53" s="11"/>
    </row>
    <row r="54" spans="2:18" x14ac:dyDescent="0.35">
      <c r="B54" s="3"/>
      <c r="D54" s="3"/>
      <c r="F54" s="3"/>
      <c r="H54" s="3"/>
      <c r="J54" s="9"/>
      <c r="L54" s="3"/>
      <c r="N54" s="3"/>
      <c r="P54" s="11"/>
      <c r="R54" s="11"/>
    </row>
    <row r="55" spans="2:18" x14ac:dyDescent="0.35">
      <c r="B55" s="3"/>
      <c r="D55" s="3"/>
      <c r="F55" s="3"/>
      <c r="H55" s="3"/>
      <c r="J55" s="9"/>
      <c r="L55" s="3"/>
      <c r="N55" s="3"/>
      <c r="P55" s="11"/>
      <c r="R55" s="11"/>
    </row>
    <row r="56" spans="2:18" x14ac:dyDescent="0.35">
      <c r="B56" s="3"/>
      <c r="D56" s="3"/>
      <c r="F56" s="3"/>
      <c r="H56" s="3"/>
      <c r="J56" s="9"/>
      <c r="L56" s="3"/>
      <c r="N56" s="3"/>
      <c r="P56" s="11"/>
      <c r="R56" s="11"/>
    </row>
    <row r="57" spans="2:18" x14ac:dyDescent="0.35">
      <c r="B57" s="3"/>
      <c r="D57" s="3"/>
      <c r="F57" s="3"/>
      <c r="H57" s="3"/>
      <c r="J57" s="9"/>
      <c r="L57" s="3"/>
      <c r="N57" s="3"/>
      <c r="P57" s="11"/>
      <c r="R57" s="11"/>
    </row>
    <row r="58" spans="2:18" x14ac:dyDescent="0.35">
      <c r="B58" s="3"/>
      <c r="D58" s="3"/>
      <c r="F58" s="3"/>
      <c r="H58" s="3"/>
      <c r="J58" s="9"/>
      <c r="L58" s="3"/>
      <c r="N58" s="3"/>
      <c r="P58" s="11"/>
      <c r="R58" s="11"/>
    </row>
    <row r="59" spans="2:18" x14ac:dyDescent="0.35">
      <c r="B59" s="3"/>
      <c r="D59" s="3"/>
      <c r="F59" s="3"/>
      <c r="H59" s="3"/>
      <c r="J59" s="9"/>
      <c r="L59" s="3"/>
      <c r="N59" s="3"/>
      <c r="P59" s="11"/>
      <c r="R59" s="11"/>
    </row>
    <row r="60" spans="2:18" x14ac:dyDescent="0.35">
      <c r="B60" s="3"/>
      <c r="D60" s="3"/>
      <c r="F60" s="3"/>
      <c r="H60" s="3"/>
      <c r="J60" s="3"/>
      <c r="L60" s="3"/>
      <c r="N60" s="3"/>
      <c r="P60" s="12"/>
      <c r="R60" s="12"/>
    </row>
  </sheetData>
  <mergeCells count="6">
    <mergeCell ref="D28:J28"/>
    <mergeCell ref="L28:R28"/>
    <mergeCell ref="E18:G18"/>
    <mergeCell ref="E20:G20"/>
    <mergeCell ref="E22:F22"/>
    <mergeCell ref="E24:F24"/>
  </mergeCells>
  <phoneticPr fontId="2" type="noConversion"/>
  <dataValidations count="5">
    <dataValidation type="list" allowBlank="1" showInputMessage="1" showErrorMessage="1" sqref="E6" xr:uid="{3BE8D5D7-D25A-41A9-A15C-87B5CB8DB69D}">
      <formula1>$K$6:$K$7</formula1>
    </dataValidation>
    <dataValidation type="list" allowBlank="1" showInputMessage="1" showErrorMessage="1" sqref="E22 E24" xr:uid="{E8F75986-79C1-4B35-901A-416786E4F4B6}">
      <formula1>$K$22:$K$24</formula1>
    </dataValidation>
    <dataValidation type="list" allowBlank="1" showInputMessage="1" showErrorMessage="1" sqref="E16" xr:uid="{514CD06C-BCD1-47F7-9C50-6BD8260CF54F}">
      <formula1>$K$15:$K$16</formula1>
    </dataValidation>
    <dataValidation type="list" allowBlank="1" showInputMessage="1" showErrorMessage="1" sqref="E19" xr:uid="{F30E54F6-4C1A-41E7-B1E7-510D2CF716D0}">
      <formula1>$K$17:$K$20</formula1>
    </dataValidation>
    <dataValidation type="list" allowBlank="1" showInputMessage="1" showErrorMessage="1" sqref="E18 E20" xr:uid="{4F1501F3-9FCD-4A5F-A27A-A68AF169FB93}">
      <formula1>$K$17:$K$21</formula1>
    </dataValidation>
  </dataValidations>
  <pageMargins left="0.7" right="0.7" top="0.75" bottom="0.75" header="0.3" footer="0.3"/>
  <pageSetup paperSize="9"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B96F0-252E-44BD-88A6-FF4A1D8C1921}">
  <sheetPr codeName="Sheet2"/>
  <dimension ref="B1:R37"/>
  <sheetViews>
    <sheetView tabSelected="1" workbookViewId="0">
      <selection activeCell="K3" sqref="K3"/>
    </sheetView>
  </sheetViews>
  <sheetFormatPr defaultRowHeight="14.5" x14ac:dyDescent="0.35"/>
  <sheetData>
    <row r="1" spans="2:18" x14ac:dyDescent="0.35">
      <c r="B1">
        <f>IF('Data Input'!L6=102,1,2)</f>
        <v>2</v>
      </c>
    </row>
    <row r="2" spans="2:18" x14ac:dyDescent="0.35">
      <c r="B2">
        <f>'Data Input'!E8</f>
        <v>0</v>
      </c>
      <c r="D2">
        <f>'Data Input'!G8</f>
        <v>0</v>
      </c>
    </row>
    <row r="3" spans="2:18" x14ac:dyDescent="0.35">
      <c r="B3">
        <f>'Data Input'!E10</f>
        <v>0</v>
      </c>
      <c r="D3">
        <f>'Data Input'!G10</f>
        <v>0</v>
      </c>
    </row>
    <row r="4" spans="2:18" x14ac:dyDescent="0.35">
      <c r="B4">
        <f>'Data Input'!E12</f>
        <v>0</v>
      </c>
    </row>
    <row r="5" spans="2:18" x14ac:dyDescent="0.35">
      <c r="B5">
        <f>'Data Input'!E14</f>
        <v>0</v>
      </c>
    </row>
    <row r="6" spans="2:18" x14ac:dyDescent="0.35">
      <c r="B6">
        <f>IF('Data Input'!H16=49,1,2)</f>
        <v>1</v>
      </c>
      <c r="D6">
        <f>'Data Input'!H18-48</f>
        <v>1</v>
      </c>
      <c r="F6">
        <f>'Data Input'!H20-48</f>
        <v>2</v>
      </c>
    </row>
    <row r="7" spans="2:18" x14ac:dyDescent="0.35">
      <c r="B7">
        <f>'Data Input'!B31</f>
        <v>0</v>
      </c>
      <c r="D7">
        <f>'Data Input'!D31</f>
        <v>0</v>
      </c>
      <c r="F7">
        <f>'Data Input'!F31</f>
        <v>0</v>
      </c>
      <c r="H7">
        <f>'Data Input'!H31</f>
        <v>0</v>
      </c>
      <c r="J7">
        <f>'Data Input'!J31</f>
        <v>0</v>
      </c>
      <c r="L7">
        <f>'Data Input'!L31</f>
        <v>0</v>
      </c>
      <c r="N7">
        <f>'Data Input'!N31</f>
        <v>0</v>
      </c>
      <c r="P7">
        <f>'Data Input'!P31</f>
        <v>0</v>
      </c>
      <c r="R7">
        <f>'Data Input'!R31</f>
        <v>0</v>
      </c>
    </row>
    <row r="8" spans="2:18" x14ac:dyDescent="0.35">
      <c r="B8">
        <f>'Data Input'!B32</f>
        <v>0</v>
      </c>
      <c r="D8">
        <f>'Data Input'!D32</f>
        <v>0</v>
      </c>
      <c r="F8">
        <f>'Data Input'!F32</f>
        <v>0</v>
      </c>
      <c r="H8">
        <f>'Data Input'!H32</f>
        <v>0</v>
      </c>
      <c r="J8">
        <f>'Data Input'!J32</f>
        <v>0</v>
      </c>
      <c r="L8">
        <f>'Data Input'!L32</f>
        <v>0</v>
      </c>
      <c r="N8">
        <f>'Data Input'!N32</f>
        <v>0</v>
      </c>
      <c r="P8">
        <f>'Data Input'!P32</f>
        <v>0</v>
      </c>
      <c r="R8">
        <f>'Data Input'!R32</f>
        <v>0</v>
      </c>
    </row>
    <row r="9" spans="2:18" x14ac:dyDescent="0.35">
      <c r="B9">
        <f>'Data Input'!B33</f>
        <v>0</v>
      </c>
      <c r="D9">
        <f>'Data Input'!D33</f>
        <v>0</v>
      </c>
      <c r="F9">
        <f>'Data Input'!F33</f>
        <v>0</v>
      </c>
      <c r="H9">
        <f>'Data Input'!H33</f>
        <v>0</v>
      </c>
      <c r="J9">
        <f>'Data Input'!J33</f>
        <v>0</v>
      </c>
      <c r="L9">
        <f>'Data Input'!L33</f>
        <v>0</v>
      </c>
      <c r="N9">
        <f>'Data Input'!N33</f>
        <v>0</v>
      </c>
      <c r="P9">
        <f>'Data Input'!P33</f>
        <v>0</v>
      </c>
      <c r="R9">
        <f>'Data Input'!R33</f>
        <v>0</v>
      </c>
    </row>
    <row r="10" spans="2:18" x14ac:dyDescent="0.35">
      <c r="B10">
        <f>'Data Input'!B34</f>
        <v>0</v>
      </c>
      <c r="D10">
        <f>'Data Input'!D34</f>
        <v>0</v>
      </c>
      <c r="F10">
        <f>'Data Input'!F34</f>
        <v>0</v>
      </c>
      <c r="H10">
        <f>'Data Input'!H34</f>
        <v>0</v>
      </c>
      <c r="J10">
        <f>'Data Input'!J34</f>
        <v>0</v>
      </c>
      <c r="L10">
        <f>'Data Input'!L34</f>
        <v>0</v>
      </c>
      <c r="N10">
        <f>'Data Input'!N34</f>
        <v>0</v>
      </c>
      <c r="P10">
        <f>'Data Input'!P34</f>
        <v>0</v>
      </c>
      <c r="R10">
        <f>'Data Input'!R34</f>
        <v>0</v>
      </c>
    </row>
    <row r="11" spans="2:18" x14ac:dyDescent="0.35">
      <c r="B11">
        <f>'Data Input'!B35</f>
        <v>0</v>
      </c>
      <c r="D11">
        <f>'Data Input'!D35</f>
        <v>0</v>
      </c>
      <c r="F11">
        <f>'Data Input'!F35</f>
        <v>0</v>
      </c>
      <c r="H11">
        <f>'Data Input'!H35</f>
        <v>0</v>
      </c>
      <c r="J11">
        <f>'Data Input'!J35</f>
        <v>0</v>
      </c>
      <c r="L11">
        <f>'Data Input'!L35</f>
        <v>0</v>
      </c>
      <c r="N11">
        <f>'Data Input'!N35</f>
        <v>0</v>
      </c>
      <c r="P11">
        <f>'Data Input'!P35</f>
        <v>0</v>
      </c>
      <c r="R11">
        <f>'Data Input'!R35</f>
        <v>0</v>
      </c>
    </row>
    <row r="12" spans="2:18" x14ac:dyDescent="0.35">
      <c r="B12">
        <f>'Data Input'!B36</f>
        <v>0</v>
      </c>
      <c r="D12">
        <f>'Data Input'!D36</f>
        <v>0</v>
      </c>
      <c r="F12">
        <f>'Data Input'!F36</f>
        <v>0</v>
      </c>
      <c r="H12">
        <f>'Data Input'!H36</f>
        <v>0</v>
      </c>
      <c r="J12">
        <f>'Data Input'!J36</f>
        <v>0</v>
      </c>
      <c r="L12">
        <f>'Data Input'!L36</f>
        <v>0</v>
      </c>
      <c r="N12">
        <f>'Data Input'!N36</f>
        <v>0</v>
      </c>
      <c r="P12">
        <f>'Data Input'!P36</f>
        <v>0</v>
      </c>
      <c r="R12">
        <f>'Data Input'!R36</f>
        <v>0</v>
      </c>
    </row>
    <row r="13" spans="2:18" x14ac:dyDescent="0.35">
      <c r="B13">
        <f>'Data Input'!B37</f>
        <v>0</v>
      </c>
      <c r="D13">
        <f>'Data Input'!D37</f>
        <v>0</v>
      </c>
      <c r="F13">
        <f>'Data Input'!F37</f>
        <v>0</v>
      </c>
      <c r="H13">
        <f>'Data Input'!H37</f>
        <v>0</v>
      </c>
      <c r="J13">
        <f>'Data Input'!J37</f>
        <v>0</v>
      </c>
      <c r="L13">
        <f>'Data Input'!L37</f>
        <v>0</v>
      </c>
      <c r="N13">
        <f>'Data Input'!N37</f>
        <v>0</v>
      </c>
      <c r="P13">
        <f>'Data Input'!P37</f>
        <v>0</v>
      </c>
      <c r="R13">
        <f>'Data Input'!R37</f>
        <v>0</v>
      </c>
    </row>
    <row r="14" spans="2:18" x14ac:dyDescent="0.35">
      <c r="B14">
        <f>'Data Input'!B38</f>
        <v>0</v>
      </c>
      <c r="D14">
        <f>'Data Input'!D38</f>
        <v>0</v>
      </c>
      <c r="F14">
        <f>'Data Input'!F38</f>
        <v>0</v>
      </c>
      <c r="H14">
        <f>'Data Input'!H38</f>
        <v>0</v>
      </c>
      <c r="J14">
        <f>'Data Input'!J38</f>
        <v>0</v>
      </c>
      <c r="L14">
        <f>'Data Input'!L38</f>
        <v>0</v>
      </c>
      <c r="N14">
        <f>'Data Input'!N38</f>
        <v>0</v>
      </c>
      <c r="P14">
        <f>'Data Input'!P38</f>
        <v>0</v>
      </c>
      <c r="R14">
        <f>'Data Input'!R38</f>
        <v>0</v>
      </c>
    </row>
    <row r="15" spans="2:18" x14ac:dyDescent="0.35">
      <c r="B15">
        <f>'Data Input'!B39</f>
        <v>0</v>
      </c>
      <c r="D15">
        <f>'Data Input'!D39</f>
        <v>0</v>
      </c>
      <c r="F15">
        <f>'Data Input'!F39</f>
        <v>0</v>
      </c>
      <c r="H15">
        <f>'Data Input'!H39</f>
        <v>0</v>
      </c>
      <c r="J15">
        <f>'Data Input'!J39</f>
        <v>0</v>
      </c>
      <c r="L15">
        <f>'Data Input'!L39</f>
        <v>0</v>
      </c>
      <c r="N15">
        <f>'Data Input'!N39</f>
        <v>0</v>
      </c>
      <c r="P15">
        <f>'Data Input'!P39</f>
        <v>0</v>
      </c>
      <c r="R15">
        <f>'Data Input'!R39</f>
        <v>0</v>
      </c>
    </row>
    <row r="16" spans="2:18" x14ac:dyDescent="0.35">
      <c r="B16">
        <f>'Data Input'!B40</f>
        <v>0</v>
      </c>
      <c r="D16">
        <f>'Data Input'!D40</f>
        <v>0</v>
      </c>
      <c r="F16">
        <f>'Data Input'!F40</f>
        <v>0</v>
      </c>
      <c r="H16">
        <f>'Data Input'!H40</f>
        <v>0</v>
      </c>
      <c r="J16">
        <f>'Data Input'!J40</f>
        <v>0</v>
      </c>
      <c r="L16">
        <f>'Data Input'!L40</f>
        <v>0</v>
      </c>
      <c r="N16">
        <f>'Data Input'!N40</f>
        <v>0</v>
      </c>
      <c r="P16">
        <f>'Data Input'!P40</f>
        <v>0</v>
      </c>
      <c r="R16">
        <f>'Data Input'!R40</f>
        <v>0</v>
      </c>
    </row>
    <row r="17" spans="2:18" x14ac:dyDescent="0.35">
      <c r="B17">
        <f>'Data Input'!B41</f>
        <v>0</v>
      </c>
      <c r="D17">
        <f>'Data Input'!D41</f>
        <v>0</v>
      </c>
      <c r="F17">
        <f>'Data Input'!F41</f>
        <v>0</v>
      </c>
      <c r="H17">
        <f>'Data Input'!H41</f>
        <v>0</v>
      </c>
      <c r="J17">
        <f>'Data Input'!J41</f>
        <v>0</v>
      </c>
      <c r="L17">
        <f>'Data Input'!L41</f>
        <v>0</v>
      </c>
      <c r="N17">
        <f>'Data Input'!N41</f>
        <v>0</v>
      </c>
      <c r="P17">
        <f>'Data Input'!P41</f>
        <v>0</v>
      </c>
      <c r="R17">
        <f>'Data Input'!R41</f>
        <v>0</v>
      </c>
    </row>
    <row r="18" spans="2:18" x14ac:dyDescent="0.35">
      <c r="B18">
        <f>'Data Input'!B42</f>
        <v>0</v>
      </c>
      <c r="D18">
        <f>'Data Input'!D42</f>
        <v>0</v>
      </c>
      <c r="F18">
        <f>'Data Input'!F42</f>
        <v>0</v>
      </c>
      <c r="H18">
        <f>'Data Input'!H42</f>
        <v>0</v>
      </c>
      <c r="J18">
        <f>'Data Input'!J42</f>
        <v>0</v>
      </c>
      <c r="L18">
        <f>'Data Input'!L42</f>
        <v>0</v>
      </c>
      <c r="N18">
        <f>'Data Input'!N42</f>
        <v>0</v>
      </c>
      <c r="P18">
        <f>'Data Input'!P42</f>
        <v>0</v>
      </c>
      <c r="R18">
        <f>'Data Input'!R42</f>
        <v>0</v>
      </c>
    </row>
    <row r="19" spans="2:18" x14ac:dyDescent="0.35">
      <c r="B19">
        <f>'Data Input'!B43</f>
        <v>0</v>
      </c>
      <c r="D19">
        <f>'Data Input'!D43</f>
        <v>0</v>
      </c>
      <c r="F19">
        <f>'Data Input'!F43</f>
        <v>0</v>
      </c>
      <c r="H19">
        <f>'Data Input'!H43</f>
        <v>0</v>
      </c>
      <c r="J19">
        <f>'Data Input'!J43</f>
        <v>0</v>
      </c>
      <c r="L19">
        <f>'Data Input'!L43</f>
        <v>0</v>
      </c>
      <c r="N19">
        <f>'Data Input'!N43</f>
        <v>0</v>
      </c>
      <c r="P19">
        <f>'Data Input'!P43</f>
        <v>0</v>
      </c>
      <c r="R19">
        <f>'Data Input'!R43</f>
        <v>0</v>
      </c>
    </row>
    <row r="20" spans="2:18" x14ac:dyDescent="0.35">
      <c r="B20">
        <f>'Data Input'!B44</f>
        <v>0</v>
      </c>
      <c r="D20">
        <f>'Data Input'!D44</f>
        <v>0</v>
      </c>
      <c r="F20">
        <f>'Data Input'!F44</f>
        <v>0</v>
      </c>
      <c r="H20">
        <f>'Data Input'!H44</f>
        <v>0</v>
      </c>
      <c r="J20">
        <f>'Data Input'!J44</f>
        <v>0</v>
      </c>
      <c r="L20">
        <f>'Data Input'!L44</f>
        <v>0</v>
      </c>
      <c r="N20">
        <f>'Data Input'!N44</f>
        <v>0</v>
      </c>
      <c r="P20">
        <f>'Data Input'!P44</f>
        <v>0</v>
      </c>
      <c r="R20">
        <f>'Data Input'!R44</f>
        <v>0</v>
      </c>
    </row>
    <row r="21" spans="2:18" x14ac:dyDescent="0.35">
      <c r="B21">
        <f>'Data Input'!B45</f>
        <v>0</v>
      </c>
      <c r="D21">
        <f>'Data Input'!D45</f>
        <v>0</v>
      </c>
      <c r="F21">
        <f>'Data Input'!F45</f>
        <v>0</v>
      </c>
      <c r="H21">
        <f>'Data Input'!H45</f>
        <v>0</v>
      </c>
      <c r="J21">
        <f>'Data Input'!J45</f>
        <v>0</v>
      </c>
      <c r="L21">
        <f>'Data Input'!L45</f>
        <v>0</v>
      </c>
      <c r="N21">
        <f>'Data Input'!N45</f>
        <v>0</v>
      </c>
      <c r="P21">
        <f>'Data Input'!P45</f>
        <v>0</v>
      </c>
      <c r="R21">
        <f>'Data Input'!R45</f>
        <v>0</v>
      </c>
    </row>
    <row r="22" spans="2:18" x14ac:dyDescent="0.35">
      <c r="B22">
        <f>'Data Input'!B46</f>
        <v>0</v>
      </c>
      <c r="D22">
        <f>'Data Input'!D46</f>
        <v>0</v>
      </c>
      <c r="F22">
        <f>'Data Input'!F46</f>
        <v>0</v>
      </c>
      <c r="H22">
        <f>'Data Input'!H46</f>
        <v>0</v>
      </c>
      <c r="J22">
        <f>'Data Input'!J46</f>
        <v>0</v>
      </c>
      <c r="L22">
        <f>'Data Input'!L46</f>
        <v>0</v>
      </c>
      <c r="N22">
        <f>'Data Input'!N46</f>
        <v>0</v>
      </c>
      <c r="P22">
        <f>'Data Input'!P46</f>
        <v>0</v>
      </c>
      <c r="R22">
        <f>'Data Input'!R46</f>
        <v>0</v>
      </c>
    </row>
    <row r="23" spans="2:18" x14ac:dyDescent="0.35">
      <c r="B23">
        <f>'Data Input'!B47</f>
        <v>0</v>
      </c>
      <c r="D23">
        <f>'Data Input'!D47</f>
        <v>0</v>
      </c>
      <c r="F23">
        <f>'Data Input'!F47</f>
        <v>0</v>
      </c>
      <c r="H23">
        <f>'Data Input'!H47</f>
        <v>0</v>
      </c>
      <c r="J23">
        <f>'Data Input'!J47</f>
        <v>0</v>
      </c>
      <c r="L23">
        <f>'Data Input'!L47</f>
        <v>0</v>
      </c>
      <c r="N23">
        <f>'Data Input'!N47</f>
        <v>0</v>
      </c>
      <c r="P23">
        <f>'Data Input'!P47</f>
        <v>0</v>
      </c>
      <c r="R23">
        <f>'Data Input'!R47</f>
        <v>0</v>
      </c>
    </row>
    <row r="24" spans="2:18" x14ac:dyDescent="0.35">
      <c r="B24">
        <f>'Data Input'!B48</f>
        <v>0</v>
      </c>
      <c r="D24">
        <f>'Data Input'!D48</f>
        <v>0</v>
      </c>
      <c r="F24">
        <f>'Data Input'!F48</f>
        <v>0</v>
      </c>
      <c r="H24">
        <f>'Data Input'!H48</f>
        <v>0</v>
      </c>
      <c r="J24">
        <f>'Data Input'!J48</f>
        <v>0</v>
      </c>
      <c r="L24">
        <f>'Data Input'!L48</f>
        <v>0</v>
      </c>
      <c r="N24">
        <f>'Data Input'!N48</f>
        <v>0</v>
      </c>
      <c r="P24">
        <f>'Data Input'!P48</f>
        <v>0</v>
      </c>
      <c r="R24">
        <f>'Data Input'!R48</f>
        <v>0</v>
      </c>
    </row>
    <row r="25" spans="2:18" x14ac:dyDescent="0.35">
      <c r="B25">
        <f>'Data Input'!B49</f>
        <v>0</v>
      </c>
      <c r="D25">
        <f>'Data Input'!D49</f>
        <v>0</v>
      </c>
      <c r="F25">
        <f>'Data Input'!F49</f>
        <v>0</v>
      </c>
      <c r="H25">
        <f>'Data Input'!H49</f>
        <v>0</v>
      </c>
      <c r="J25">
        <f>'Data Input'!J49</f>
        <v>0</v>
      </c>
      <c r="L25">
        <f>'Data Input'!L49</f>
        <v>0</v>
      </c>
      <c r="N25">
        <f>'Data Input'!N49</f>
        <v>0</v>
      </c>
      <c r="P25">
        <f>'Data Input'!P49</f>
        <v>0</v>
      </c>
      <c r="R25">
        <f>'Data Input'!R49</f>
        <v>0</v>
      </c>
    </row>
    <row r="26" spans="2:18" x14ac:dyDescent="0.35">
      <c r="B26">
        <f>'Data Input'!B50</f>
        <v>0</v>
      </c>
      <c r="D26">
        <f>'Data Input'!D50</f>
        <v>0</v>
      </c>
      <c r="F26">
        <f>'Data Input'!F50</f>
        <v>0</v>
      </c>
      <c r="H26">
        <f>'Data Input'!H50</f>
        <v>0</v>
      </c>
      <c r="J26">
        <f>'Data Input'!J50</f>
        <v>0</v>
      </c>
      <c r="L26">
        <f>'Data Input'!L50</f>
        <v>0</v>
      </c>
      <c r="N26">
        <f>'Data Input'!N50</f>
        <v>0</v>
      </c>
      <c r="P26">
        <f>'Data Input'!P50</f>
        <v>0</v>
      </c>
      <c r="R26">
        <f>'Data Input'!R50</f>
        <v>0</v>
      </c>
    </row>
    <row r="27" spans="2:18" x14ac:dyDescent="0.35">
      <c r="B27">
        <f>'Data Input'!B51</f>
        <v>0</v>
      </c>
      <c r="D27">
        <f>'Data Input'!D51</f>
        <v>0</v>
      </c>
      <c r="F27">
        <f>'Data Input'!F51</f>
        <v>0</v>
      </c>
      <c r="H27">
        <f>'Data Input'!H51</f>
        <v>0</v>
      </c>
      <c r="J27">
        <f>'Data Input'!J51</f>
        <v>0</v>
      </c>
      <c r="L27">
        <f>'Data Input'!L51</f>
        <v>0</v>
      </c>
      <c r="N27">
        <f>'Data Input'!N51</f>
        <v>0</v>
      </c>
      <c r="P27">
        <f>'Data Input'!P51</f>
        <v>0</v>
      </c>
      <c r="R27">
        <f>'Data Input'!R51</f>
        <v>0</v>
      </c>
    </row>
    <row r="28" spans="2:18" x14ac:dyDescent="0.35">
      <c r="B28">
        <f>'Data Input'!B52</f>
        <v>0</v>
      </c>
      <c r="D28">
        <f>'Data Input'!D52</f>
        <v>0</v>
      </c>
      <c r="F28">
        <f>'Data Input'!F52</f>
        <v>0</v>
      </c>
      <c r="H28">
        <f>'Data Input'!H52</f>
        <v>0</v>
      </c>
      <c r="J28">
        <f>'Data Input'!J52</f>
        <v>0</v>
      </c>
      <c r="L28">
        <f>'Data Input'!L52</f>
        <v>0</v>
      </c>
      <c r="N28">
        <f>'Data Input'!N52</f>
        <v>0</v>
      </c>
      <c r="P28">
        <f>'Data Input'!P52</f>
        <v>0</v>
      </c>
      <c r="R28">
        <f>'Data Input'!R52</f>
        <v>0</v>
      </c>
    </row>
    <row r="29" spans="2:18" x14ac:dyDescent="0.35">
      <c r="B29">
        <f>'Data Input'!B53</f>
        <v>0</v>
      </c>
      <c r="D29">
        <f>'Data Input'!D53</f>
        <v>0</v>
      </c>
      <c r="F29">
        <f>'Data Input'!F53</f>
        <v>0</v>
      </c>
      <c r="H29">
        <f>'Data Input'!H53</f>
        <v>0</v>
      </c>
      <c r="J29">
        <f>'Data Input'!J53</f>
        <v>0</v>
      </c>
      <c r="L29">
        <f>'Data Input'!L53</f>
        <v>0</v>
      </c>
      <c r="N29">
        <f>'Data Input'!N53</f>
        <v>0</v>
      </c>
      <c r="P29">
        <f>'Data Input'!P53</f>
        <v>0</v>
      </c>
      <c r="R29">
        <f>'Data Input'!R53</f>
        <v>0</v>
      </c>
    </row>
    <row r="30" spans="2:18" x14ac:dyDescent="0.35">
      <c r="B30">
        <f>'Data Input'!B54</f>
        <v>0</v>
      </c>
      <c r="D30">
        <f>'Data Input'!D54</f>
        <v>0</v>
      </c>
      <c r="F30">
        <f>'Data Input'!F54</f>
        <v>0</v>
      </c>
      <c r="H30">
        <f>'Data Input'!H54</f>
        <v>0</v>
      </c>
      <c r="J30">
        <f>'Data Input'!J54</f>
        <v>0</v>
      </c>
      <c r="L30">
        <f>'Data Input'!L54</f>
        <v>0</v>
      </c>
      <c r="N30">
        <f>'Data Input'!N54</f>
        <v>0</v>
      </c>
      <c r="P30">
        <f>'Data Input'!P54</f>
        <v>0</v>
      </c>
      <c r="R30">
        <f>'Data Input'!R54</f>
        <v>0</v>
      </c>
    </row>
    <row r="31" spans="2:18" x14ac:dyDescent="0.35">
      <c r="B31">
        <f>'Data Input'!B55</f>
        <v>0</v>
      </c>
      <c r="D31">
        <f>'Data Input'!D55</f>
        <v>0</v>
      </c>
      <c r="F31">
        <f>'Data Input'!F55</f>
        <v>0</v>
      </c>
      <c r="H31">
        <f>'Data Input'!H55</f>
        <v>0</v>
      </c>
      <c r="J31">
        <f>'Data Input'!J55</f>
        <v>0</v>
      </c>
      <c r="L31">
        <f>'Data Input'!L55</f>
        <v>0</v>
      </c>
      <c r="N31">
        <f>'Data Input'!N55</f>
        <v>0</v>
      </c>
      <c r="P31">
        <f>'Data Input'!P55</f>
        <v>0</v>
      </c>
      <c r="R31">
        <f>'Data Input'!R55</f>
        <v>0</v>
      </c>
    </row>
    <row r="32" spans="2:18" x14ac:dyDescent="0.35">
      <c r="B32">
        <f>'Data Input'!B56</f>
        <v>0</v>
      </c>
      <c r="D32">
        <f>'Data Input'!D56</f>
        <v>0</v>
      </c>
      <c r="F32">
        <f>'Data Input'!F56</f>
        <v>0</v>
      </c>
      <c r="H32">
        <f>'Data Input'!H56</f>
        <v>0</v>
      </c>
      <c r="J32">
        <f>'Data Input'!J56</f>
        <v>0</v>
      </c>
      <c r="L32">
        <f>'Data Input'!L56</f>
        <v>0</v>
      </c>
      <c r="N32">
        <f>'Data Input'!N56</f>
        <v>0</v>
      </c>
      <c r="P32">
        <f>'Data Input'!P56</f>
        <v>0</v>
      </c>
      <c r="R32">
        <f>'Data Input'!R56</f>
        <v>0</v>
      </c>
    </row>
    <row r="33" spans="2:18" x14ac:dyDescent="0.35">
      <c r="B33">
        <f>'Data Input'!B57</f>
        <v>0</v>
      </c>
      <c r="D33">
        <f>'Data Input'!D57</f>
        <v>0</v>
      </c>
      <c r="F33">
        <f>'Data Input'!F57</f>
        <v>0</v>
      </c>
      <c r="H33">
        <f>'Data Input'!H57</f>
        <v>0</v>
      </c>
      <c r="J33">
        <f>'Data Input'!J57</f>
        <v>0</v>
      </c>
      <c r="L33">
        <f>'Data Input'!L57</f>
        <v>0</v>
      </c>
      <c r="N33">
        <f>'Data Input'!N57</f>
        <v>0</v>
      </c>
      <c r="P33">
        <f>'Data Input'!P57</f>
        <v>0</v>
      </c>
      <c r="R33">
        <f>'Data Input'!R57</f>
        <v>0</v>
      </c>
    </row>
    <row r="34" spans="2:18" x14ac:dyDescent="0.35">
      <c r="B34">
        <f>'Data Input'!B58</f>
        <v>0</v>
      </c>
      <c r="D34">
        <f>'Data Input'!D58</f>
        <v>0</v>
      </c>
      <c r="F34">
        <f>'Data Input'!F58</f>
        <v>0</v>
      </c>
      <c r="H34">
        <f>'Data Input'!H58</f>
        <v>0</v>
      </c>
      <c r="J34">
        <f>'Data Input'!J58</f>
        <v>0</v>
      </c>
      <c r="L34">
        <f>'Data Input'!L58</f>
        <v>0</v>
      </c>
      <c r="N34">
        <f>'Data Input'!N58</f>
        <v>0</v>
      </c>
      <c r="P34">
        <f>'Data Input'!P58</f>
        <v>0</v>
      </c>
      <c r="R34">
        <f>'Data Input'!R58</f>
        <v>0</v>
      </c>
    </row>
    <row r="35" spans="2:18" x14ac:dyDescent="0.35">
      <c r="B35">
        <f>'Data Input'!B59</f>
        <v>0</v>
      </c>
      <c r="D35">
        <f>'Data Input'!D59</f>
        <v>0</v>
      </c>
      <c r="F35">
        <f>'Data Input'!F59</f>
        <v>0</v>
      </c>
      <c r="H35">
        <f>'Data Input'!H59</f>
        <v>0</v>
      </c>
      <c r="J35">
        <f>'Data Input'!J59</f>
        <v>0</v>
      </c>
      <c r="L35">
        <f>'Data Input'!L59</f>
        <v>0</v>
      </c>
      <c r="N35">
        <f>'Data Input'!N59</f>
        <v>0</v>
      </c>
      <c r="P35">
        <f>'Data Input'!P59</f>
        <v>0</v>
      </c>
      <c r="R35">
        <f>'Data Input'!R59</f>
        <v>0</v>
      </c>
    </row>
    <row r="36" spans="2:18" x14ac:dyDescent="0.35">
      <c r="B36">
        <f>'Data Input'!B60</f>
        <v>0</v>
      </c>
      <c r="D36">
        <f>'Data Input'!D60</f>
        <v>0</v>
      </c>
      <c r="F36">
        <f>'Data Input'!F60</f>
        <v>0</v>
      </c>
      <c r="H36">
        <f>'Data Input'!H60</f>
        <v>0</v>
      </c>
      <c r="J36">
        <f>'Data Input'!J60</f>
        <v>0</v>
      </c>
      <c r="L36">
        <f>'Data Input'!L60</f>
        <v>0</v>
      </c>
      <c r="N36">
        <f>'Data Input'!N60</f>
        <v>0</v>
      </c>
      <c r="P36">
        <f>'Data Input'!P60</f>
        <v>0</v>
      </c>
      <c r="R36">
        <f>'Data Input'!R60</f>
        <v>0</v>
      </c>
    </row>
    <row r="37" spans="2:18" x14ac:dyDescent="0.35">
      <c r="B37">
        <f>'Data Input'!B61</f>
        <v>0</v>
      </c>
      <c r="D37">
        <f>'Data Input'!D61</f>
        <v>0</v>
      </c>
      <c r="F37">
        <f>'Data Input'!F61</f>
        <v>0</v>
      </c>
      <c r="H37">
        <f>'Data Input'!H61</f>
        <v>0</v>
      </c>
      <c r="J37">
        <f>'Data Input'!J61</f>
        <v>0</v>
      </c>
      <c r="L37">
        <f>'Data Input'!L61</f>
        <v>0</v>
      </c>
      <c r="N37">
        <f>'Data Input'!N61</f>
        <v>0</v>
      </c>
      <c r="P37">
        <f>'Data Input'!P61</f>
        <v>0</v>
      </c>
      <c r="R37">
        <f>'Data Input'!R61</f>
        <v>0</v>
      </c>
    </row>
  </sheetData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546100</xdr:colOff>
                    <xdr:row>0</xdr:row>
                    <xdr:rowOff>57150</xdr:rowOff>
                  </from>
                  <to>
                    <xdr:col>9</xdr:col>
                    <xdr:colOff>114300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Planform</vt:lpstr>
      <vt:lpstr>Data Input</vt:lpstr>
      <vt:lpstr>vfpinputtest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hackett</dc:creator>
  <cp:lastModifiedBy>kevin hackett</cp:lastModifiedBy>
  <dcterms:created xsi:type="dcterms:W3CDTF">2022-07-15T12:40:48Z</dcterms:created>
  <dcterms:modified xsi:type="dcterms:W3CDTF">2024-06-28T09:52:37Z</dcterms:modified>
</cp:coreProperties>
</file>